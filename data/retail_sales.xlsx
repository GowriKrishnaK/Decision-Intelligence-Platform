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1c22857bc20f78/Desktop/Decision-Intelligence-Platform/data/"/>
    </mc:Choice>
  </mc:AlternateContent>
  <xr:revisionPtr revIDLastSave="0" documentId="8_{2C41ABD5-CC5E-4E9C-8FC6-5DDDB0D7AF05}" xr6:coauthVersionLast="47" xr6:coauthVersionMax="47" xr10:uidLastSave="{00000000-0000-0000-0000-000000000000}"/>
  <bookViews>
    <workbookView xWindow="-108" yWindow="-108" windowWidth="23256" windowHeight="12456" activeTab="2" xr2:uid="{B67B2748-91AF-449B-A6E6-64F4EF4A348F}"/>
  </bookViews>
  <sheets>
    <sheet name="Sheet1" sheetId="2" r:id="rId1"/>
    <sheet name="Sheet2" sheetId="3" r:id="rId2"/>
    <sheet name="retail_sales" sheetId="1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J3" i="1"/>
  <c r="K3" i="1" s="1"/>
  <c r="L3" i="1" s="1"/>
  <c r="M3" i="1" s="1"/>
  <c r="J4" i="1"/>
  <c r="K4" i="1" s="1"/>
  <c r="L4" i="1" s="1"/>
  <c r="M4" i="1" s="1"/>
  <c r="J5" i="1"/>
  <c r="K5" i="1" s="1"/>
  <c r="L5" i="1" s="1"/>
  <c r="M5" i="1" s="1"/>
  <c r="J6" i="1"/>
  <c r="K6" i="1" s="1"/>
  <c r="L6" i="1" s="1"/>
  <c r="M6" i="1" s="1"/>
  <c r="J7" i="1"/>
  <c r="K7" i="1" s="1"/>
  <c r="L7" i="1" s="1"/>
  <c r="M7" i="1" s="1"/>
  <c r="J8" i="1"/>
  <c r="K8" i="1" s="1"/>
  <c r="L8" i="1" s="1"/>
  <c r="M8" i="1" s="1"/>
  <c r="J9" i="1"/>
  <c r="K9" i="1" s="1"/>
  <c r="L9" i="1" s="1"/>
  <c r="M9" i="1" s="1"/>
  <c r="J10" i="1"/>
  <c r="K10" i="1" s="1"/>
  <c r="L10" i="1" s="1"/>
  <c r="M10" i="1" s="1"/>
  <c r="J11" i="1"/>
  <c r="K11" i="1" s="1"/>
  <c r="L11" i="1" s="1"/>
  <c r="M11" i="1" s="1"/>
  <c r="J12" i="1"/>
  <c r="K12" i="1" s="1"/>
  <c r="L12" i="1" s="1"/>
  <c r="M12" i="1" s="1"/>
  <c r="J13" i="1"/>
  <c r="K13" i="1" s="1"/>
  <c r="L13" i="1" s="1"/>
  <c r="M13" i="1" s="1"/>
  <c r="J14" i="1"/>
  <c r="K14" i="1" s="1"/>
  <c r="L14" i="1" s="1"/>
  <c r="M14" i="1" s="1"/>
  <c r="M7" i="2"/>
  <c r="M6" i="2"/>
  <c r="M5" i="2"/>
</calcChain>
</file>

<file path=xl/sharedStrings.xml><?xml version="1.0" encoding="utf-8"?>
<sst xmlns="http://schemas.openxmlformats.org/spreadsheetml/2006/main" count="73" uniqueCount="40">
  <si>
    <t>order_id</t>
  </si>
  <si>
    <t>order_date</t>
  </si>
  <si>
    <t>region</t>
  </si>
  <si>
    <t>category</t>
  </si>
  <si>
    <t>product</t>
  </si>
  <si>
    <t>quantity</t>
  </si>
  <si>
    <t>unit_price</t>
  </si>
  <si>
    <t>unit_cost</t>
  </si>
  <si>
    <t>discount_pct</t>
  </si>
  <si>
    <t>South</t>
  </si>
  <si>
    <t>Furniture</t>
  </si>
  <si>
    <t>Chair</t>
  </si>
  <si>
    <t>North</t>
  </si>
  <si>
    <t>Technology</t>
  </si>
  <si>
    <t>Mouse</t>
  </si>
  <si>
    <t>West</t>
  </si>
  <si>
    <t>Office Supplies</t>
  </si>
  <si>
    <t>Paper</t>
  </si>
  <si>
    <t>Keyboard</t>
  </si>
  <si>
    <t>East</t>
  </si>
  <si>
    <t>Desk</t>
  </si>
  <si>
    <t>Pen</t>
  </si>
  <si>
    <t>Monitor</t>
  </si>
  <si>
    <t>gross_sales</t>
  </si>
  <si>
    <t>net_sales</t>
  </si>
  <si>
    <t>profit</t>
  </si>
  <si>
    <t>profit_margin</t>
  </si>
  <si>
    <t>Row Labels</t>
  </si>
  <si>
    <t>Grand Total</t>
  </si>
  <si>
    <t>Sum of net_sales</t>
  </si>
  <si>
    <t>Sum of profit</t>
  </si>
  <si>
    <t>Average of profit_margin</t>
  </si>
  <si>
    <t>Profit Margin=</t>
  </si>
  <si>
    <t xml:space="preserve">Total Profit\Total Net Sales*100 </t>
  </si>
  <si>
    <t>Profit margin</t>
  </si>
  <si>
    <t>Sum of discount_pct</t>
  </si>
  <si>
    <t>Sum of quantity</t>
  </si>
  <si>
    <t>unit price(1-Discount)-unit cost</t>
  </si>
  <si>
    <t>profit per unit=</t>
  </si>
  <si>
    <t>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</si>
</sst>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33" borderId="0" xfId="0" applyFill="1"/>
    <xf numFmtId="9" fontId="0" fillId="0" borderId="0" xfId="0" applyNumberFormat="1" applyAlignment="1">
      <alignment horizontal="left"/>
    </xf>
    <xf numFmtId="0" fontId="0" fillId="33" borderId="0" xfId="0" applyFill="1" applyAlignment="1">
      <alignment wrapText="1"/>
    </xf>
    <xf numFmtId="0" fontId="0" fillId="0" borderId="0" xfId="0" applyAlignment="1">
      <alignment horizontal="left" indent="1"/>
    </xf>
    <xf numFmtId="0" fontId="0" fillId="33" borderId="0" xfId="0" applyFill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 K" refreshedDate="46307.628033217596" createdVersion="8" refreshedVersion="8" minRefreshableVersion="3" recordCount="12" xr:uid="{594989FF-BE01-41E8-9561-4D389A4B553C}">
  <cacheSource type="worksheet">
    <worksheetSource name="Table1"/>
  </cacheSource>
  <cacheFields count="13">
    <cacheField name="order_id" numFmtId="0">
      <sharedItems containsSemiMixedTypes="0" containsString="0" containsNumber="1" containsInteger="1" minValue="1001" maxValue="1012"/>
    </cacheField>
    <cacheField name="order_date" numFmtId="14">
      <sharedItems containsSemiMixedTypes="0" containsNonDate="0" containsDate="1" containsString="0" minDate="2026-01-05T00:00:00" maxDate="2026-02-06T00:00:00"/>
    </cacheField>
    <cacheField name="region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product" numFmtId="0">
      <sharedItems count="7">
        <s v="Chair"/>
        <s v="Mouse"/>
        <s v="Paper"/>
        <s v="Keyboard"/>
        <s v="Desk"/>
        <s v="Pen"/>
        <s v="Monitor"/>
      </sharedItems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containsInteger="1" minValue="20" maxValue="9000"/>
    </cacheField>
    <cacheField name="unit_cost" numFmtId="0">
      <sharedItems containsSemiMixedTypes="0" containsString="0" containsNumber="1" containsInteger="1" minValue="8" maxValue="6500"/>
    </cacheField>
    <cacheField name="discount_pct" numFmtId="0">
      <sharedItems containsSemiMixedTypes="0" containsString="0" containsNumber="1" minValue="0" maxValue="0.3" count="7">
        <n v="0.1"/>
        <n v="0.05"/>
        <n v="0"/>
        <n v="0.15"/>
        <n v="0.2"/>
        <n v="0.25"/>
        <n v="0.3"/>
      </sharedItems>
    </cacheField>
    <cacheField name="gross_sales" numFmtId="0">
      <sharedItems containsSemiMixedTypes="0" containsString="0" containsNumber="1" containsInteger="1" minValue="1000" maxValue="27000"/>
    </cacheField>
    <cacheField name="net_sales" numFmtId="0">
      <sharedItems containsSemiMixedTypes="0" containsString="0" containsNumber="1" containsInteger="1" minValue="1000" maxValue="24300"/>
    </cacheField>
    <cacheField name="profit" numFmtId="0">
      <sharedItems containsSemiMixedTypes="0" containsString="0" containsNumber="1" containsInteger="1" minValue="320" maxValue="4800"/>
    </cacheField>
    <cacheField name="profit_margin" numFmtId="9">
      <sharedItems containsSemiMixedTypes="0" containsString="0" containsNumber="1" minValue="4.7619047619047616E-2" maxValue="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d v="2026-01-05T00:00:00"/>
    <s v="South"/>
    <x v="0"/>
    <x v="0"/>
    <n v="4"/>
    <n v="2500"/>
    <n v="1700"/>
    <x v="0"/>
    <n v="10000"/>
    <n v="9000"/>
    <n v="2200"/>
    <n v="0.24444444444444444"/>
  </r>
  <r>
    <n v="1002"/>
    <d v="2026-01-06T00:00:00"/>
    <s v="North"/>
    <x v="1"/>
    <x v="1"/>
    <n v="10"/>
    <n v="600"/>
    <n v="350"/>
    <x v="1"/>
    <n v="6000"/>
    <n v="5700"/>
    <n v="2200"/>
    <n v="0.38596491228070173"/>
  </r>
  <r>
    <n v="1003"/>
    <d v="2026-01-08T00:00:00"/>
    <s v="West"/>
    <x v="2"/>
    <x v="2"/>
    <n v="20"/>
    <n v="150"/>
    <n v="100"/>
    <x v="2"/>
    <n v="3000"/>
    <n v="3000"/>
    <n v="1000"/>
    <n v="0.33333333333333331"/>
  </r>
  <r>
    <n v="1004"/>
    <d v="2026-01-10T00:00:00"/>
    <s v="South"/>
    <x v="1"/>
    <x v="3"/>
    <n v="5"/>
    <n v="1200"/>
    <n v="800"/>
    <x v="3"/>
    <n v="6000"/>
    <n v="5100"/>
    <n v="1100"/>
    <n v="0.21568627450980393"/>
  </r>
  <r>
    <n v="1005"/>
    <d v="2026-01-12T00:00:00"/>
    <s v="East"/>
    <x v="0"/>
    <x v="4"/>
    <n v="2"/>
    <n v="7000"/>
    <n v="5200"/>
    <x v="4"/>
    <n v="14000"/>
    <n v="11200"/>
    <n v="800"/>
    <n v="7.1428571428571425E-2"/>
  </r>
  <r>
    <n v="1006"/>
    <d v="2026-01-15T00:00:00"/>
    <s v="North"/>
    <x v="2"/>
    <x v="5"/>
    <n v="50"/>
    <n v="20"/>
    <n v="8"/>
    <x v="2"/>
    <n v="1000"/>
    <n v="1000"/>
    <n v="600"/>
    <n v="0.6"/>
  </r>
  <r>
    <n v="1007"/>
    <d v="2026-01-18T00:00:00"/>
    <s v="West"/>
    <x v="1"/>
    <x v="6"/>
    <n v="3"/>
    <n v="9000"/>
    <n v="6500"/>
    <x v="0"/>
    <n v="27000"/>
    <n v="24300"/>
    <n v="4800"/>
    <n v="0.19753086419753085"/>
  </r>
  <r>
    <n v="1008"/>
    <d v="2026-01-20T00:00:00"/>
    <s v="South"/>
    <x v="0"/>
    <x v="0"/>
    <n v="6"/>
    <n v="2500"/>
    <n v="1700"/>
    <x v="5"/>
    <n v="15000"/>
    <n v="11250"/>
    <n v="1050"/>
    <n v="9.3333333333333338E-2"/>
  </r>
  <r>
    <n v="1009"/>
    <d v="2026-01-22T00:00:00"/>
    <s v="East"/>
    <x v="1"/>
    <x v="1"/>
    <n v="15"/>
    <n v="600"/>
    <n v="350"/>
    <x v="0"/>
    <n v="9000"/>
    <n v="8100"/>
    <n v="2850"/>
    <n v="0.35185185185185186"/>
  </r>
  <r>
    <n v="1010"/>
    <d v="2026-01-25T00:00:00"/>
    <s v="North"/>
    <x v="0"/>
    <x v="4"/>
    <n v="1"/>
    <n v="7000"/>
    <n v="5200"/>
    <x v="1"/>
    <n v="7000"/>
    <n v="6650"/>
    <n v="1450"/>
    <n v="0.21804511278195488"/>
  </r>
  <r>
    <n v="1011"/>
    <d v="2026-02-02T00:00:00"/>
    <s v="South"/>
    <x v="2"/>
    <x v="2"/>
    <n v="30"/>
    <n v="150"/>
    <n v="100"/>
    <x v="1"/>
    <n v="4500"/>
    <n v="4275"/>
    <n v="1275"/>
    <n v="0.2982456140350877"/>
  </r>
  <r>
    <n v="1012"/>
    <d v="2026-02-05T00:00:00"/>
    <s v="West"/>
    <x v="1"/>
    <x v="3"/>
    <n v="8"/>
    <n v="1200"/>
    <n v="800"/>
    <x v="6"/>
    <n v="9600"/>
    <n v="6720"/>
    <n v="320"/>
    <n v="4.761904761904761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15215-4C28-4EA7-8FB2-19D57D05DBC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" firstHeaderRow="0" firstDataRow="1" firstDataCol="1"/>
  <pivotFields count="13">
    <pivotField showAll="0"/>
    <pivotField numFmtId="14"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8">
        <item x="0"/>
        <item x="4"/>
        <item x="3"/>
        <item x="6"/>
        <item x="1"/>
        <item x="2"/>
        <item x="5"/>
        <item t="default"/>
      </items>
    </pivotField>
    <pivotField dataField="1" showAll="0"/>
    <pivotField showAll="0"/>
    <pivotField showAll="0"/>
    <pivotField axis="axisRow" dataField="1" showAll="0">
      <items count="8">
        <item x="2"/>
        <item x="1"/>
        <item x="0"/>
        <item x="3"/>
        <item x="4"/>
        <item x="5"/>
        <item x="6"/>
        <item t="default"/>
      </items>
    </pivotField>
    <pivotField showAll="0"/>
    <pivotField dataField="1" showAll="0"/>
    <pivotField dataField="1" showAll="0"/>
    <pivotField numFmtId="9" showAll="0"/>
  </pivotFields>
  <rowFields count="2">
    <field x="4"/>
    <field x="8"/>
  </rowFields>
  <rowItems count="20">
    <i>
      <x/>
    </i>
    <i r="1">
      <x v="2"/>
    </i>
    <i r="1">
      <x v="5"/>
    </i>
    <i>
      <x v="1"/>
    </i>
    <i r="1">
      <x v="1"/>
    </i>
    <i r="1">
      <x v="4"/>
    </i>
    <i>
      <x v="2"/>
    </i>
    <i r="1">
      <x v="3"/>
    </i>
    <i r="1">
      <x v="6"/>
    </i>
    <i>
      <x v="3"/>
    </i>
    <i r="1">
      <x v="2"/>
    </i>
    <i>
      <x v="4"/>
    </i>
    <i r="1">
      <x v="1"/>
    </i>
    <i r="1">
      <x v="2"/>
    </i>
    <i>
      <x v="5"/>
    </i>
    <i r="1">
      <x/>
    </i>
    <i r="1">
      <x v="1"/>
    </i>
    <i>
      <x v="6"/>
    </i>
    <i r="1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sales" fld="10" baseField="0" baseItem="0"/>
    <dataField name="Sum of profit" fld="11" baseField="0" baseItem="0"/>
    <dataField name="Sum of quantity" fld="5" baseField="0" baseItem="0"/>
    <dataField name="Sum of discount_pct" fld="8" baseField="0" baseItem="0"/>
  </dataFields>
  <formats count="7">
    <format dxfId="7">
      <pivotArea collapsedLevelsAreSubtotals="1" fieldPosition="0">
        <references count="2">
          <reference field="4294967294" count="1" selected="0">
            <x v="3"/>
          </reference>
          <reference field="4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4" count="1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4" count="1">
            <x v="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3"/>
          </reference>
          <reference field="4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3"/>
          </reference>
          <reference field="4" count="1">
            <x v="4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4" count="1">
            <x v="5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BD896-9C0E-4FF8-BB0B-19A1622FB35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0"/>
        <item x="3"/>
        <item x="4"/>
        <item x="5"/>
        <item x="6"/>
        <item t="default"/>
      </items>
    </pivotField>
    <pivotField showAll="0"/>
    <pivotField dataField="1" showAll="0"/>
    <pivotField dataField="1" showAll="0"/>
    <pivotField dataField="1" numFmtId="9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sales" fld="10" baseField="8" baseItem="0"/>
    <dataField name="Sum of profit" fld="11" baseField="0" baseItem="0"/>
    <dataField name="Average of profit_margin" fld="12" subtotal="average" baseField="8" baseItem="0" numFmtId="9"/>
  </dataFields>
  <formats count="1">
    <format dxfId="12">
      <pivotArea dataOnly="0" labelOnly="1" fieldPosition="0">
        <references count="1">
          <reference field="8" count="0"/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333C7-063A-467B-92A9-04D9B78C39E1}" name="Table1" displayName="Table1" ref="A2:N14" totalsRowShown="0">
  <autoFilter ref="A2:N14" xr:uid="{5C0333C7-063A-467B-92A9-04D9B78C39E1}">
    <filterColumn colId="4">
      <filters>
        <filter val="Chair"/>
        <filter val="Desk"/>
      </filters>
    </filterColumn>
  </autoFilter>
  <tableColumns count="14">
    <tableColumn id="1" xr3:uid="{87E6C5D7-D413-42F0-951A-9676C0C64F02}" name="order_id"/>
    <tableColumn id="2" xr3:uid="{F340A9DF-816D-4FA3-A7BC-BE89A5AA0FA9}" name="order_date" dataDxfId="16"/>
    <tableColumn id="3" xr3:uid="{EF03439C-98C4-42D5-A82A-FAFC7E2F38E8}" name="region"/>
    <tableColumn id="4" xr3:uid="{9AE5312D-43A0-4165-A59D-FEDBC3BD63CD}" name="category"/>
    <tableColumn id="5" xr3:uid="{2FB518CF-02D4-4A7E-9A80-3146E82B4102}" name="product"/>
    <tableColumn id="6" xr3:uid="{AC6EFCCB-2489-4BEA-8040-7ECBB1CCB4F6}" name="quantity"/>
    <tableColumn id="7" xr3:uid="{DC31CA56-CFCF-4EA0-AFD5-372A20926D3D}" name="unit_price"/>
    <tableColumn id="8" xr3:uid="{58070587-7E2E-4575-BD44-08037CE7CDF4}" name="unit_cost"/>
    <tableColumn id="9" xr3:uid="{A1E304D0-0676-4D05-8BE3-62176E24A40F}" name="discount_pct" dataCellStyle="Percent"/>
    <tableColumn id="10" xr3:uid="{71149803-083A-46E0-9E95-BB4215A1A1F8}" name="gross_sales" dataDxfId="13">
      <calculatedColumnFormula>Table1[[#This Row],[quantity]]*Table1[[#This Row],[unit_price]]</calculatedColumnFormula>
    </tableColumn>
    <tableColumn id="11" xr3:uid="{A548FF30-CA43-4C11-801E-C4A28600CDC1}" name="net_sales" dataDxfId="15">
      <calculatedColumnFormula>Table1[[#This Row],[gross_sales]]*(1-Table1[[#This Row],[discount_pct]])</calculatedColumnFormula>
    </tableColumn>
    <tableColumn id="12" xr3:uid="{0A9CD3B3-B221-46F3-B6A4-220211989720}" name="profit" dataDxfId="14">
      <calculatedColumnFormula>Table1[[#This Row],[net_sales]]-(Table1[[#This Row],[quantity]]*Table1[[#This Row],[unit_cost]])</calculatedColumnFormula>
    </tableColumn>
    <tableColumn id="13" xr3:uid="{DA32A3FF-CD07-4EED-8E27-7BB963F7A9E8}" name="profit_margin" dataCellStyle="Percent">
      <calculatedColumnFormula>Table1[[#This Row],[profit]]/Table1[[#This Row],[net_sales]]</calculatedColumnFormula>
    </tableColumn>
    <tableColumn id="15" xr3:uid="{88733512-CF4D-4720-B8B8-2E6D90B9DD0A}" name="profit per unit" dataDxfId="0">
      <calculatedColumnFormula>Table1[[#This Row],[unit_price]]*(1-Table1[[#This Row],[discount_pct]])-Table1[[#This Row],[unit_cost]]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0B16-0798-4455-AA0D-8D12DF738F9A}">
  <dimension ref="A3:O23"/>
  <sheetViews>
    <sheetView workbookViewId="0">
      <selection activeCell="H15" sqref="H15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14.6640625" bestFit="1" customWidth="1"/>
    <col min="5" max="5" width="18.5546875" bestFit="1" customWidth="1"/>
    <col min="6" max="6" width="19.21875" bestFit="1" customWidth="1"/>
    <col min="10" max="10" width="12.33203125" customWidth="1"/>
  </cols>
  <sheetData>
    <row r="3" spans="1:15" x14ac:dyDescent="0.3">
      <c r="A3" s="4" t="s">
        <v>27</v>
      </c>
      <c r="B3" t="s">
        <v>29</v>
      </c>
      <c r="C3" t="s">
        <v>30</v>
      </c>
      <c r="D3" t="s">
        <v>36</v>
      </c>
      <c r="E3" t="s">
        <v>35</v>
      </c>
    </row>
    <row r="4" spans="1:15" x14ac:dyDescent="0.3">
      <c r="A4" s="5" t="s">
        <v>11</v>
      </c>
      <c r="B4" s="3">
        <v>20250</v>
      </c>
      <c r="C4" s="3">
        <v>3250</v>
      </c>
      <c r="D4" s="3">
        <v>10</v>
      </c>
      <c r="E4" s="6">
        <v>0.35</v>
      </c>
      <c r="M4" s="7" t="s">
        <v>34</v>
      </c>
    </row>
    <row r="5" spans="1:15" x14ac:dyDescent="0.3">
      <c r="A5" s="10">
        <v>0.1</v>
      </c>
      <c r="B5" s="3">
        <v>9000</v>
      </c>
      <c r="C5" s="3">
        <v>2200</v>
      </c>
      <c r="D5" s="3">
        <v>4</v>
      </c>
      <c r="E5" s="3">
        <v>0.1</v>
      </c>
      <c r="M5" s="2" t="e">
        <f>GETPIVOTDATA("Sum of profit",$A$3,"category","Furniture")/GETPIVOTDATA("Sum of net_sales",$A$3,"category","Furniture")</f>
        <v>#REF!</v>
      </c>
    </row>
    <row r="6" spans="1:15" x14ac:dyDescent="0.3">
      <c r="A6" s="10">
        <v>0.25</v>
      </c>
      <c r="B6" s="3">
        <v>11250</v>
      </c>
      <c r="C6" s="3">
        <v>1050</v>
      </c>
      <c r="D6" s="3">
        <v>6</v>
      </c>
      <c r="E6" s="3">
        <v>0.25</v>
      </c>
      <c r="M6" s="2" t="e">
        <f>GETPIVOTDATA("Sum of profit",$A$3,"category","Office Supplies")/GETPIVOTDATA("Sum of net_sales",$A$3,"category","Office Supplies")</f>
        <v>#REF!</v>
      </c>
    </row>
    <row r="7" spans="1:15" x14ac:dyDescent="0.3">
      <c r="A7" s="5" t="s">
        <v>20</v>
      </c>
      <c r="B7" s="3">
        <v>17850</v>
      </c>
      <c r="C7" s="3">
        <v>2250</v>
      </c>
      <c r="D7" s="3">
        <v>3</v>
      </c>
      <c r="E7" s="6">
        <v>0.25</v>
      </c>
      <c r="M7" s="2" t="e">
        <f>GETPIVOTDATA("Sum of profit",$A$3,"category","Technology")/GETPIVOTDATA("Sum of net_sales",$A$3,"category","Technology")</f>
        <v>#REF!</v>
      </c>
    </row>
    <row r="8" spans="1:15" x14ac:dyDescent="0.3">
      <c r="A8" s="10">
        <v>0.05</v>
      </c>
      <c r="B8" s="3">
        <v>6650</v>
      </c>
      <c r="C8" s="3">
        <v>1450</v>
      </c>
      <c r="D8" s="3">
        <v>1</v>
      </c>
      <c r="E8" s="3">
        <v>0.05</v>
      </c>
    </row>
    <row r="9" spans="1:15" x14ac:dyDescent="0.3">
      <c r="A9" s="10">
        <v>0.2</v>
      </c>
      <c r="B9" s="3">
        <v>11200</v>
      </c>
      <c r="C9" s="3">
        <v>800</v>
      </c>
      <c r="D9" s="3">
        <v>2</v>
      </c>
      <c r="E9" s="3">
        <v>0.2</v>
      </c>
    </row>
    <row r="10" spans="1:15" x14ac:dyDescent="0.3">
      <c r="A10" s="5" t="s">
        <v>18</v>
      </c>
      <c r="B10" s="3">
        <v>11820</v>
      </c>
      <c r="C10" s="3">
        <v>1420</v>
      </c>
      <c r="D10" s="3">
        <v>13</v>
      </c>
      <c r="E10" s="6">
        <v>0.44999999999999996</v>
      </c>
    </row>
    <row r="11" spans="1:15" ht="28.8" x14ac:dyDescent="0.3">
      <c r="A11" s="10">
        <v>0.15</v>
      </c>
      <c r="B11" s="3">
        <v>5100</v>
      </c>
      <c r="C11" s="3">
        <v>1100</v>
      </c>
      <c r="D11" s="3">
        <v>5</v>
      </c>
      <c r="E11" s="3">
        <v>0.15</v>
      </c>
      <c r="L11" s="9" t="s">
        <v>32</v>
      </c>
      <c r="M11" s="7" t="s">
        <v>33</v>
      </c>
      <c r="N11" s="7"/>
      <c r="O11" s="7"/>
    </row>
    <row r="12" spans="1:15" x14ac:dyDescent="0.3">
      <c r="A12" s="10">
        <v>0.3</v>
      </c>
      <c r="B12" s="3">
        <v>6720</v>
      </c>
      <c r="C12" s="3">
        <v>320</v>
      </c>
      <c r="D12" s="3">
        <v>8</v>
      </c>
      <c r="E12" s="3">
        <v>0.3</v>
      </c>
    </row>
    <row r="13" spans="1:15" x14ac:dyDescent="0.3">
      <c r="A13" s="5" t="s">
        <v>22</v>
      </c>
      <c r="B13" s="3">
        <v>24300</v>
      </c>
      <c r="C13" s="3">
        <v>4800</v>
      </c>
      <c r="D13" s="3">
        <v>3</v>
      </c>
      <c r="E13" s="6">
        <v>0.1</v>
      </c>
    </row>
    <row r="14" spans="1:15" x14ac:dyDescent="0.3">
      <c r="A14" s="10">
        <v>0.1</v>
      </c>
      <c r="B14" s="3">
        <v>24300</v>
      </c>
      <c r="C14" s="3">
        <v>4800</v>
      </c>
      <c r="D14" s="3">
        <v>3</v>
      </c>
      <c r="E14" s="3">
        <v>0.1</v>
      </c>
    </row>
    <row r="15" spans="1:15" x14ac:dyDescent="0.3">
      <c r="A15" s="5" t="s">
        <v>14</v>
      </c>
      <c r="B15" s="3">
        <v>13800</v>
      </c>
      <c r="C15" s="3">
        <v>5050</v>
      </c>
      <c r="D15" s="3">
        <v>25</v>
      </c>
      <c r="E15" s="6">
        <v>0.15000000000000002</v>
      </c>
    </row>
    <row r="16" spans="1:15" x14ac:dyDescent="0.3">
      <c r="A16" s="10">
        <v>0.05</v>
      </c>
      <c r="B16" s="3">
        <v>5700</v>
      </c>
      <c r="C16" s="3">
        <v>2200</v>
      </c>
      <c r="D16" s="3">
        <v>10</v>
      </c>
      <c r="E16" s="3">
        <v>0.05</v>
      </c>
    </row>
    <row r="17" spans="1:5" x14ac:dyDescent="0.3">
      <c r="A17" s="10">
        <v>0.1</v>
      </c>
      <c r="B17" s="3">
        <v>8100</v>
      </c>
      <c r="C17" s="3">
        <v>2850</v>
      </c>
      <c r="D17" s="3">
        <v>15</v>
      </c>
      <c r="E17" s="3">
        <v>0.1</v>
      </c>
    </row>
    <row r="18" spans="1:5" x14ac:dyDescent="0.3">
      <c r="A18" s="5" t="s">
        <v>17</v>
      </c>
      <c r="B18" s="3">
        <v>7275</v>
      </c>
      <c r="C18" s="3">
        <v>2275</v>
      </c>
      <c r="D18" s="3">
        <v>50</v>
      </c>
      <c r="E18" s="6">
        <v>0.05</v>
      </c>
    </row>
    <row r="19" spans="1:5" x14ac:dyDescent="0.3">
      <c r="A19" s="10">
        <v>0</v>
      </c>
      <c r="B19" s="3">
        <v>3000</v>
      </c>
      <c r="C19" s="3">
        <v>1000</v>
      </c>
      <c r="D19" s="3">
        <v>20</v>
      </c>
      <c r="E19" s="3">
        <v>0</v>
      </c>
    </row>
    <row r="20" spans="1:5" x14ac:dyDescent="0.3">
      <c r="A20" s="10">
        <v>0.05</v>
      </c>
      <c r="B20" s="3">
        <v>4275</v>
      </c>
      <c r="C20" s="3">
        <v>1275</v>
      </c>
      <c r="D20" s="3">
        <v>30</v>
      </c>
      <c r="E20" s="3">
        <v>0.05</v>
      </c>
    </row>
    <row r="21" spans="1:5" x14ac:dyDescent="0.3">
      <c r="A21" s="5" t="s">
        <v>21</v>
      </c>
      <c r="B21" s="3">
        <v>1000</v>
      </c>
      <c r="C21" s="3">
        <v>600</v>
      </c>
      <c r="D21" s="3">
        <v>50</v>
      </c>
      <c r="E21" s="6">
        <v>0</v>
      </c>
    </row>
    <row r="22" spans="1:5" x14ac:dyDescent="0.3">
      <c r="A22" s="10">
        <v>0</v>
      </c>
      <c r="B22" s="3">
        <v>1000</v>
      </c>
      <c r="C22" s="3">
        <v>600</v>
      </c>
      <c r="D22" s="3">
        <v>50</v>
      </c>
      <c r="E22" s="3">
        <v>0</v>
      </c>
    </row>
    <row r="23" spans="1:5" x14ac:dyDescent="0.3">
      <c r="A23" s="5" t="s">
        <v>28</v>
      </c>
      <c r="B23" s="3">
        <v>96295</v>
      </c>
      <c r="C23" s="3">
        <v>19645</v>
      </c>
      <c r="D23" s="3">
        <v>154</v>
      </c>
      <c r="E23" s="3">
        <v>1.3500000000000003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7787-FEDF-42EF-BE1C-4D3E14034A04}">
  <dimension ref="A3:D11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22.44140625" bestFit="1" customWidth="1"/>
  </cols>
  <sheetData>
    <row r="3" spans="1:4" x14ac:dyDescent="0.3">
      <c r="A3" s="4" t="s">
        <v>27</v>
      </c>
      <c r="B3" t="s">
        <v>29</v>
      </c>
      <c r="C3" t="s">
        <v>30</v>
      </c>
      <c r="D3" t="s">
        <v>31</v>
      </c>
    </row>
    <row r="4" spans="1:4" x14ac:dyDescent="0.3">
      <c r="A4" s="8">
        <v>0</v>
      </c>
      <c r="B4" s="3">
        <v>4000</v>
      </c>
      <c r="C4" s="3">
        <v>1600</v>
      </c>
      <c r="D4" s="6">
        <v>0.46666666666666667</v>
      </c>
    </row>
    <row r="5" spans="1:4" x14ac:dyDescent="0.3">
      <c r="A5" s="8">
        <v>0.05</v>
      </c>
      <c r="B5" s="3">
        <v>16625</v>
      </c>
      <c r="C5" s="3">
        <v>4925</v>
      </c>
      <c r="D5" s="6">
        <v>0.3007518796992481</v>
      </c>
    </row>
    <row r="6" spans="1:4" x14ac:dyDescent="0.3">
      <c r="A6" s="8">
        <v>0.1</v>
      </c>
      <c r="B6" s="3">
        <v>41400</v>
      </c>
      <c r="C6" s="3">
        <v>9850</v>
      </c>
      <c r="D6" s="6">
        <v>0.26460905349794239</v>
      </c>
    </row>
    <row r="7" spans="1:4" x14ac:dyDescent="0.3">
      <c r="A7" s="8">
        <v>0.15</v>
      </c>
      <c r="B7" s="3">
        <v>5100</v>
      </c>
      <c r="C7" s="3">
        <v>1100</v>
      </c>
      <c r="D7" s="6">
        <v>0.21568627450980393</v>
      </c>
    </row>
    <row r="8" spans="1:4" x14ac:dyDescent="0.3">
      <c r="A8" s="8">
        <v>0.2</v>
      </c>
      <c r="B8" s="3">
        <v>11200</v>
      </c>
      <c r="C8" s="3">
        <v>800</v>
      </c>
      <c r="D8" s="6">
        <v>7.1428571428571425E-2</v>
      </c>
    </row>
    <row r="9" spans="1:4" x14ac:dyDescent="0.3">
      <c r="A9" s="8">
        <v>0.25</v>
      </c>
      <c r="B9" s="3">
        <v>11250</v>
      </c>
      <c r="C9" s="3">
        <v>1050</v>
      </c>
      <c r="D9" s="6">
        <v>9.3333333333333338E-2</v>
      </c>
    </row>
    <row r="10" spans="1:4" x14ac:dyDescent="0.3">
      <c r="A10" s="8">
        <v>0.3</v>
      </c>
      <c r="B10" s="3">
        <v>6720</v>
      </c>
      <c r="C10" s="3">
        <v>320</v>
      </c>
      <c r="D10" s="6">
        <v>4.7619047619047616E-2</v>
      </c>
    </row>
    <row r="11" spans="1:4" x14ac:dyDescent="0.3">
      <c r="A11" s="5" t="s">
        <v>28</v>
      </c>
      <c r="B11" s="3">
        <v>96295</v>
      </c>
      <c r="C11" s="3">
        <v>19645</v>
      </c>
      <c r="D11" s="6">
        <v>0.25479027998463843</v>
      </c>
    </row>
  </sheetData>
  <conditionalFormatting pivot="1" sqref="C4:C10">
    <cfRule type="top10" dxfId="11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A869-B86B-416E-9D91-0D1AD5E2681E}">
  <dimension ref="A2:Q23"/>
  <sheetViews>
    <sheetView tabSelected="1" workbookViewId="0">
      <selection activeCell="J26" sqref="J26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8.5546875" bestFit="1" customWidth="1"/>
    <col min="4" max="4" width="13.109375" bestFit="1" customWidth="1"/>
    <col min="5" max="5" width="9.88671875" bestFit="1" customWidth="1"/>
    <col min="6" max="6" width="10.33203125" bestFit="1" customWidth="1"/>
    <col min="7" max="7" width="11.6640625" bestFit="1" customWidth="1"/>
    <col min="8" max="8" width="11" bestFit="1" customWidth="1"/>
    <col min="9" max="9" width="14.109375" bestFit="1" customWidth="1"/>
    <col min="10" max="10" width="12.5546875" bestFit="1" customWidth="1"/>
    <col min="11" max="11" width="11" bestFit="1" customWidth="1"/>
    <col min="12" max="12" width="7.88671875" bestFit="1" customWidth="1"/>
    <col min="13" max="13" width="14.77734375" bestFit="1" customWidth="1"/>
    <col min="14" max="14" width="14.21875" bestFit="1" customWidth="1"/>
  </cols>
  <sheetData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23</v>
      </c>
      <c r="K2" t="s">
        <v>24</v>
      </c>
      <c r="L2" t="s">
        <v>25</v>
      </c>
      <c r="M2" t="s">
        <v>26</v>
      </c>
      <c r="N2" t="s">
        <v>39</v>
      </c>
    </row>
    <row r="3" spans="1:14" x14ac:dyDescent="0.3">
      <c r="A3">
        <v>1001</v>
      </c>
      <c r="B3" s="1">
        <v>46027</v>
      </c>
      <c r="C3" t="s">
        <v>9</v>
      </c>
      <c r="D3" t="s">
        <v>10</v>
      </c>
      <c r="E3" t="s">
        <v>11</v>
      </c>
      <c r="F3">
        <v>4</v>
      </c>
      <c r="G3">
        <v>2500</v>
      </c>
      <c r="H3">
        <v>1700</v>
      </c>
      <c r="I3" s="2">
        <v>0.1</v>
      </c>
      <c r="J3">
        <f>Table1[[#This Row],[quantity]]*Table1[[#This Row],[unit_price]]</f>
        <v>10000</v>
      </c>
      <c r="K3">
        <f>Table1[[#This Row],[gross_sales]]*(1-Table1[[#This Row],[discount_pct]])</f>
        <v>9000</v>
      </c>
      <c r="L3">
        <f>Table1[[#This Row],[net_sales]]-(Table1[[#This Row],[quantity]]*Table1[[#This Row],[unit_cost]])</f>
        <v>2200</v>
      </c>
      <c r="M3" s="2">
        <f>Table1[[#This Row],[profit]]/Table1[[#This Row],[net_sales]]</f>
        <v>0.24444444444444444</v>
      </c>
      <c r="N3" s="3">
        <f>Table1[[#This Row],[unit_price]]*(1-Table1[[#This Row],[discount_pct]])-Table1[[#This Row],[unit_cost]]</f>
        <v>550</v>
      </c>
    </row>
    <row r="4" spans="1:14" hidden="1" x14ac:dyDescent="0.3">
      <c r="A4">
        <v>1002</v>
      </c>
      <c r="B4" s="1">
        <v>46028</v>
      </c>
      <c r="C4" t="s">
        <v>12</v>
      </c>
      <c r="D4" t="s">
        <v>13</v>
      </c>
      <c r="E4" t="s">
        <v>14</v>
      </c>
      <c r="F4">
        <v>10</v>
      </c>
      <c r="G4">
        <v>600</v>
      </c>
      <c r="H4">
        <v>350</v>
      </c>
      <c r="I4" s="2">
        <v>0.05</v>
      </c>
      <c r="J4">
        <f>Table1[[#This Row],[quantity]]*Table1[[#This Row],[unit_price]]</f>
        <v>6000</v>
      </c>
      <c r="K4">
        <f>Table1[[#This Row],[gross_sales]]*(1-Table1[[#This Row],[discount_pct]])</f>
        <v>5700</v>
      </c>
      <c r="L4">
        <f>Table1[[#This Row],[net_sales]]-(Table1[[#This Row],[quantity]]*Table1[[#This Row],[unit_cost]])</f>
        <v>2200</v>
      </c>
      <c r="M4" s="2">
        <f>Table1[[#This Row],[profit]]/Table1[[#This Row],[net_sales]]</f>
        <v>0.38596491228070173</v>
      </c>
      <c r="N4" s="3">
        <f>Table1[[#This Row],[unit_price]]*(1-Table1[[#This Row],[discount_pct]])-Table1[[#This Row],[unit_cost]]</f>
        <v>220</v>
      </c>
    </row>
    <row r="5" spans="1:14" hidden="1" x14ac:dyDescent="0.3">
      <c r="A5">
        <v>1003</v>
      </c>
      <c r="B5" s="1">
        <v>46030</v>
      </c>
      <c r="C5" t="s">
        <v>15</v>
      </c>
      <c r="D5" t="s">
        <v>16</v>
      </c>
      <c r="E5" t="s">
        <v>17</v>
      </c>
      <c r="F5">
        <v>20</v>
      </c>
      <c r="G5">
        <v>150</v>
      </c>
      <c r="H5">
        <v>100</v>
      </c>
      <c r="I5" s="2">
        <v>0</v>
      </c>
      <c r="J5">
        <f>Table1[[#This Row],[quantity]]*Table1[[#This Row],[unit_price]]</f>
        <v>3000</v>
      </c>
      <c r="K5">
        <f>Table1[[#This Row],[gross_sales]]*(1-Table1[[#This Row],[discount_pct]])</f>
        <v>3000</v>
      </c>
      <c r="L5">
        <f>Table1[[#This Row],[net_sales]]-(Table1[[#This Row],[quantity]]*Table1[[#This Row],[unit_cost]])</f>
        <v>1000</v>
      </c>
      <c r="M5" s="2">
        <f>Table1[[#This Row],[profit]]/Table1[[#This Row],[net_sales]]</f>
        <v>0.33333333333333331</v>
      </c>
      <c r="N5" s="3">
        <f>Table1[[#This Row],[unit_price]]*(1-Table1[[#This Row],[discount_pct]])-Table1[[#This Row],[unit_cost]]</f>
        <v>50</v>
      </c>
    </row>
    <row r="6" spans="1:14" hidden="1" x14ac:dyDescent="0.3">
      <c r="A6">
        <v>1004</v>
      </c>
      <c r="B6" s="1">
        <v>46032</v>
      </c>
      <c r="C6" t="s">
        <v>9</v>
      </c>
      <c r="D6" t="s">
        <v>13</v>
      </c>
      <c r="E6" t="s">
        <v>18</v>
      </c>
      <c r="F6">
        <v>5</v>
      </c>
      <c r="G6">
        <v>1200</v>
      </c>
      <c r="H6">
        <v>800</v>
      </c>
      <c r="I6" s="2">
        <v>0.15</v>
      </c>
      <c r="J6">
        <f>Table1[[#This Row],[quantity]]*Table1[[#This Row],[unit_price]]</f>
        <v>6000</v>
      </c>
      <c r="K6">
        <f>Table1[[#This Row],[gross_sales]]*(1-Table1[[#This Row],[discount_pct]])</f>
        <v>5100</v>
      </c>
      <c r="L6">
        <f>Table1[[#This Row],[net_sales]]-(Table1[[#This Row],[quantity]]*Table1[[#This Row],[unit_cost]])</f>
        <v>1100</v>
      </c>
      <c r="M6" s="2">
        <f>Table1[[#This Row],[profit]]/Table1[[#This Row],[net_sales]]</f>
        <v>0.21568627450980393</v>
      </c>
      <c r="N6" s="3">
        <f>Table1[[#This Row],[unit_price]]*(1-Table1[[#This Row],[discount_pct]])-Table1[[#This Row],[unit_cost]]</f>
        <v>220</v>
      </c>
    </row>
    <row r="7" spans="1:14" x14ac:dyDescent="0.3">
      <c r="A7">
        <v>1005</v>
      </c>
      <c r="B7" s="1">
        <v>46034</v>
      </c>
      <c r="C7" t="s">
        <v>19</v>
      </c>
      <c r="D7" t="s">
        <v>10</v>
      </c>
      <c r="E7" t="s">
        <v>20</v>
      </c>
      <c r="F7">
        <v>2</v>
      </c>
      <c r="G7">
        <v>7000</v>
      </c>
      <c r="H7">
        <v>5200</v>
      </c>
      <c r="I7" s="2">
        <v>0.2</v>
      </c>
      <c r="J7">
        <f>Table1[[#This Row],[quantity]]*Table1[[#This Row],[unit_price]]</f>
        <v>14000</v>
      </c>
      <c r="K7">
        <f>Table1[[#This Row],[gross_sales]]*(1-Table1[[#This Row],[discount_pct]])</f>
        <v>11200</v>
      </c>
      <c r="L7">
        <f>Table1[[#This Row],[net_sales]]-(Table1[[#This Row],[quantity]]*Table1[[#This Row],[unit_cost]])</f>
        <v>800</v>
      </c>
      <c r="M7" s="2">
        <f>Table1[[#This Row],[profit]]/Table1[[#This Row],[net_sales]]</f>
        <v>7.1428571428571425E-2</v>
      </c>
      <c r="N7" s="3">
        <f>Table1[[#This Row],[unit_price]]*(1-Table1[[#This Row],[discount_pct]])-Table1[[#This Row],[unit_cost]]</f>
        <v>400</v>
      </c>
    </row>
    <row r="8" spans="1:14" hidden="1" x14ac:dyDescent="0.3">
      <c r="A8">
        <v>1006</v>
      </c>
      <c r="B8" s="1">
        <v>46037</v>
      </c>
      <c r="C8" t="s">
        <v>12</v>
      </c>
      <c r="D8" t="s">
        <v>16</v>
      </c>
      <c r="E8" t="s">
        <v>21</v>
      </c>
      <c r="F8">
        <v>50</v>
      </c>
      <c r="G8">
        <v>20</v>
      </c>
      <c r="H8">
        <v>8</v>
      </c>
      <c r="I8" s="2">
        <v>0</v>
      </c>
      <c r="J8">
        <f>Table1[[#This Row],[quantity]]*Table1[[#This Row],[unit_price]]</f>
        <v>1000</v>
      </c>
      <c r="K8">
        <f>Table1[[#This Row],[gross_sales]]*(1-Table1[[#This Row],[discount_pct]])</f>
        <v>1000</v>
      </c>
      <c r="L8">
        <f>Table1[[#This Row],[net_sales]]-(Table1[[#This Row],[quantity]]*Table1[[#This Row],[unit_cost]])</f>
        <v>600</v>
      </c>
      <c r="M8" s="2">
        <f>Table1[[#This Row],[profit]]/Table1[[#This Row],[net_sales]]</f>
        <v>0.6</v>
      </c>
      <c r="N8" s="3">
        <f>Table1[[#This Row],[unit_price]]*(1-Table1[[#This Row],[discount_pct]])-Table1[[#This Row],[unit_cost]]</f>
        <v>12</v>
      </c>
    </row>
    <row r="9" spans="1:14" hidden="1" x14ac:dyDescent="0.3">
      <c r="A9">
        <v>1007</v>
      </c>
      <c r="B9" s="1">
        <v>46040</v>
      </c>
      <c r="C9" t="s">
        <v>15</v>
      </c>
      <c r="D9" t="s">
        <v>13</v>
      </c>
      <c r="E9" t="s">
        <v>22</v>
      </c>
      <c r="F9">
        <v>3</v>
      </c>
      <c r="G9">
        <v>9000</v>
      </c>
      <c r="H9">
        <v>6500</v>
      </c>
      <c r="I9" s="2">
        <v>0.1</v>
      </c>
      <c r="J9">
        <f>Table1[[#This Row],[quantity]]*Table1[[#This Row],[unit_price]]</f>
        <v>27000</v>
      </c>
      <c r="K9">
        <f>Table1[[#This Row],[gross_sales]]*(1-Table1[[#This Row],[discount_pct]])</f>
        <v>24300</v>
      </c>
      <c r="L9">
        <f>Table1[[#This Row],[net_sales]]-(Table1[[#This Row],[quantity]]*Table1[[#This Row],[unit_cost]])</f>
        <v>4800</v>
      </c>
      <c r="M9" s="2">
        <f>Table1[[#This Row],[profit]]/Table1[[#This Row],[net_sales]]</f>
        <v>0.19753086419753085</v>
      </c>
      <c r="N9" s="3">
        <f>Table1[[#This Row],[unit_price]]*(1-Table1[[#This Row],[discount_pct]])-Table1[[#This Row],[unit_cost]]</f>
        <v>1600</v>
      </c>
    </row>
    <row r="10" spans="1:14" x14ac:dyDescent="0.3">
      <c r="A10">
        <v>1008</v>
      </c>
      <c r="B10" s="1">
        <v>46042</v>
      </c>
      <c r="C10" t="s">
        <v>9</v>
      </c>
      <c r="D10" t="s">
        <v>10</v>
      </c>
      <c r="E10" t="s">
        <v>11</v>
      </c>
      <c r="F10">
        <v>6</v>
      </c>
      <c r="G10">
        <v>2500</v>
      </c>
      <c r="H10">
        <v>1700</v>
      </c>
      <c r="I10" s="2">
        <v>0.25</v>
      </c>
      <c r="J10">
        <f>Table1[[#This Row],[quantity]]*Table1[[#This Row],[unit_price]]</f>
        <v>15000</v>
      </c>
      <c r="K10">
        <f>Table1[[#This Row],[gross_sales]]*(1-Table1[[#This Row],[discount_pct]])</f>
        <v>11250</v>
      </c>
      <c r="L10">
        <f>Table1[[#This Row],[net_sales]]-(Table1[[#This Row],[quantity]]*Table1[[#This Row],[unit_cost]])</f>
        <v>1050</v>
      </c>
      <c r="M10" s="2">
        <f>Table1[[#This Row],[profit]]/Table1[[#This Row],[net_sales]]</f>
        <v>9.3333333333333338E-2</v>
      </c>
      <c r="N10" s="3">
        <f>Table1[[#This Row],[unit_price]]*(1-Table1[[#This Row],[discount_pct]])-Table1[[#This Row],[unit_cost]]</f>
        <v>175</v>
      </c>
    </row>
    <row r="11" spans="1:14" hidden="1" x14ac:dyDescent="0.3">
      <c r="A11">
        <v>1009</v>
      </c>
      <c r="B11" s="1">
        <v>46044</v>
      </c>
      <c r="C11" t="s">
        <v>19</v>
      </c>
      <c r="D11" t="s">
        <v>13</v>
      </c>
      <c r="E11" t="s">
        <v>14</v>
      </c>
      <c r="F11">
        <v>15</v>
      </c>
      <c r="G11">
        <v>600</v>
      </c>
      <c r="H11">
        <v>350</v>
      </c>
      <c r="I11" s="2">
        <v>0.1</v>
      </c>
      <c r="J11">
        <f>Table1[[#This Row],[quantity]]*Table1[[#This Row],[unit_price]]</f>
        <v>9000</v>
      </c>
      <c r="K11">
        <f>Table1[[#This Row],[gross_sales]]*(1-Table1[[#This Row],[discount_pct]])</f>
        <v>8100</v>
      </c>
      <c r="L11">
        <f>Table1[[#This Row],[net_sales]]-(Table1[[#This Row],[quantity]]*Table1[[#This Row],[unit_cost]])</f>
        <v>2850</v>
      </c>
      <c r="M11" s="2">
        <f>Table1[[#This Row],[profit]]/Table1[[#This Row],[net_sales]]</f>
        <v>0.35185185185185186</v>
      </c>
      <c r="N11" s="3">
        <f>Table1[[#This Row],[unit_price]]*(1-Table1[[#This Row],[discount_pct]])-Table1[[#This Row],[unit_cost]]</f>
        <v>190</v>
      </c>
    </row>
    <row r="12" spans="1:14" x14ac:dyDescent="0.3">
      <c r="A12">
        <v>1010</v>
      </c>
      <c r="B12" s="1">
        <v>46047</v>
      </c>
      <c r="C12" t="s">
        <v>12</v>
      </c>
      <c r="D12" t="s">
        <v>10</v>
      </c>
      <c r="E12" t="s">
        <v>20</v>
      </c>
      <c r="F12">
        <v>1</v>
      </c>
      <c r="G12">
        <v>7000</v>
      </c>
      <c r="H12">
        <v>5200</v>
      </c>
      <c r="I12" s="2">
        <v>0.05</v>
      </c>
      <c r="J12">
        <f>Table1[[#This Row],[quantity]]*Table1[[#This Row],[unit_price]]</f>
        <v>7000</v>
      </c>
      <c r="K12">
        <f>Table1[[#This Row],[gross_sales]]*(1-Table1[[#This Row],[discount_pct]])</f>
        <v>6650</v>
      </c>
      <c r="L12">
        <f>Table1[[#This Row],[net_sales]]-(Table1[[#This Row],[quantity]]*Table1[[#This Row],[unit_cost]])</f>
        <v>1450</v>
      </c>
      <c r="M12" s="2">
        <f>Table1[[#This Row],[profit]]/Table1[[#This Row],[net_sales]]</f>
        <v>0.21804511278195488</v>
      </c>
      <c r="N12" s="3">
        <f>Table1[[#This Row],[unit_price]]*(1-Table1[[#This Row],[discount_pct]])-Table1[[#This Row],[unit_cost]]</f>
        <v>1450</v>
      </c>
    </row>
    <row r="13" spans="1:14" hidden="1" x14ac:dyDescent="0.3">
      <c r="A13">
        <v>1011</v>
      </c>
      <c r="B13" s="1">
        <v>46055</v>
      </c>
      <c r="C13" t="s">
        <v>9</v>
      </c>
      <c r="D13" t="s">
        <v>16</v>
      </c>
      <c r="E13" t="s">
        <v>17</v>
      </c>
      <c r="F13">
        <v>30</v>
      </c>
      <c r="G13">
        <v>150</v>
      </c>
      <c r="H13">
        <v>100</v>
      </c>
      <c r="I13" s="2">
        <v>0.05</v>
      </c>
      <c r="J13">
        <f>Table1[[#This Row],[quantity]]*Table1[[#This Row],[unit_price]]</f>
        <v>4500</v>
      </c>
      <c r="K13">
        <f>Table1[[#This Row],[gross_sales]]*(1-Table1[[#This Row],[discount_pct]])</f>
        <v>4275</v>
      </c>
      <c r="L13">
        <f>Table1[[#This Row],[net_sales]]-(Table1[[#This Row],[quantity]]*Table1[[#This Row],[unit_cost]])</f>
        <v>1275</v>
      </c>
      <c r="M13" s="2">
        <f>Table1[[#This Row],[profit]]/Table1[[#This Row],[net_sales]]</f>
        <v>0.2982456140350877</v>
      </c>
      <c r="N13" s="3">
        <f>Table1[[#This Row],[unit_price]]*(1-Table1[[#This Row],[discount_pct]])-Table1[[#This Row],[unit_cost]]</f>
        <v>42.5</v>
      </c>
    </row>
    <row r="14" spans="1:14" hidden="1" x14ac:dyDescent="0.3">
      <c r="A14">
        <v>1012</v>
      </c>
      <c r="B14" s="1">
        <v>46058</v>
      </c>
      <c r="C14" t="s">
        <v>15</v>
      </c>
      <c r="D14" t="s">
        <v>13</v>
      </c>
      <c r="E14" t="s">
        <v>18</v>
      </c>
      <c r="F14">
        <v>8</v>
      </c>
      <c r="G14">
        <v>1200</v>
      </c>
      <c r="H14">
        <v>800</v>
      </c>
      <c r="I14" s="2">
        <v>0.3</v>
      </c>
      <c r="J14">
        <f>Table1[[#This Row],[quantity]]*Table1[[#This Row],[unit_price]]</f>
        <v>9600</v>
      </c>
      <c r="K14">
        <f>Table1[[#This Row],[gross_sales]]*(1-Table1[[#This Row],[discount_pct]])</f>
        <v>6720</v>
      </c>
      <c r="L14">
        <f>Table1[[#This Row],[net_sales]]-(Table1[[#This Row],[quantity]]*Table1[[#This Row],[unit_cost]])</f>
        <v>320</v>
      </c>
      <c r="M14" s="2">
        <f>Table1[[#This Row],[profit]]/Table1[[#This Row],[net_sales]]</f>
        <v>4.7619047619047616E-2</v>
      </c>
      <c r="N14" s="3">
        <f>Table1[[#This Row],[unit_price]]*(1-Table1[[#This Row],[discount_pct]])-Table1[[#This Row],[unit_cost]]</f>
        <v>40</v>
      </c>
    </row>
    <row r="23" spans="14:17" x14ac:dyDescent="0.3">
      <c r="N23" s="11" t="s">
        <v>38</v>
      </c>
      <c r="O23" s="11" t="s">
        <v>37</v>
      </c>
      <c r="P23" s="11"/>
      <c r="Q23" s="11"/>
    </row>
  </sheetData>
  <conditionalFormatting sqref="A3:A14">
    <cfRule type="duplicateValues" dxfId="10" priority="2"/>
    <cfRule type="duplicateValues" dxfId="9" priority="3"/>
  </conditionalFormatting>
  <conditionalFormatting sqref="I3:I14">
    <cfRule type="cellIs" dxfId="8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</dc:creator>
  <cp:lastModifiedBy>G K</cp:lastModifiedBy>
  <dcterms:created xsi:type="dcterms:W3CDTF">2026-10-12T17:04:12Z</dcterms:created>
  <dcterms:modified xsi:type="dcterms:W3CDTF">2026-10-12T17:04:12Z</dcterms:modified>
</cp:coreProperties>
</file>